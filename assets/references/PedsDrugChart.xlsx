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mane\OneDrive\Desktop\"/>
    </mc:Choice>
  </mc:AlternateContent>
  <xr:revisionPtr revIDLastSave="0" documentId="13_ncr:1_{699F7CF7-B3E5-46E3-B7FB-E80C5373FE63}" xr6:coauthVersionLast="47" xr6:coauthVersionMax="47" xr10:uidLastSave="{00000000-0000-0000-0000-000000000000}"/>
  <bookViews>
    <workbookView xWindow="-98" yWindow="-98" windowWidth="24196" windowHeight="14476" xr2:uid="{5F3975B2-D43E-47EA-9845-E18215E3054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1" l="1"/>
  <c r="E28" i="1"/>
  <c r="F28" i="1"/>
  <c r="G28" i="1"/>
  <c r="H28" i="1"/>
  <c r="D33" i="1"/>
  <c r="E33" i="1"/>
  <c r="F33" i="1"/>
  <c r="G33" i="1"/>
  <c r="H33" i="1"/>
  <c r="C33" i="1"/>
  <c r="C28" i="1"/>
  <c r="C35" i="1"/>
  <c r="D35" i="1"/>
  <c r="E35" i="1"/>
  <c r="F35" i="1"/>
  <c r="G35" i="1"/>
  <c r="H35" i="1"/>
  <c r="D38" i="1"/>
  <c r="E38" i="1"/>
  <c r="F38" i="1"/>
  <c r="G38" i="1"/>
  <c r="H38" i="1"/>
  <c r="C38" i="1"/>
  <c r="D36" i="1"/>
  <c r="E36" i="1"/>
  <c r="F36" i="1"/>
  <c r="G36" i="1"/>
  <c r="H36" i="1"/>
  <c r="C36" i="1"/>
  <c r="D40" i="1"/>
  <c r="E40" i="1"/>
  <c r="F40" i="1"/>
  <c r="G40" i="1"/>
  <c r="H40" i="1"/>
  <c r="D31" i="1"/>
  <c r="E31" i="1"/>
  <c r="F31" i="1"/>
  <c r="G31" i="1"/>
  <c r="H31" i="1"/>
  <c r="C31" i="1"/>
  <c r="D32" i="1"/>
  <c r="E32" i="1"/>
  <c r="F32" i="1"/>
  <c r="G32" i="1"/>
  <c r="H32" i="1"/>
  <c r="C32" i="1"/>
  <c r="D26" i="1"/>
  <c r="E26" i="1"/>
  <c r="F26" i="1"/>
  <c r="G26" i="1"/>
  <c r="H26" i="1"/>
  <c r="C26" i="1"/>
  <c r="D18" i="1"/>
  <c r="E18" i="1"/>
  <c r="F18" i="1"/>
  <c r="G18" i="1"/>
  <c r="H18" i="1"/>
  <c r="C18" i="1"/>
  <c r="D23" i="1"/>
  <c r="E23" i="1"/>
  <c r="F23" i="1"/>
  <c r="G23" i="1"/>
  <c r="H23" i="1"/>
  <c r="C23" i="1"/>
  <c r="H22" i="1"/>
  <c r="G22" i="1"/>
  <c r="F22" i="1"/>
  <c r="E22" i="1"/>
  <c r="D22" i="1"/>
  <c r="C22" i="1"/>
  <c r="C25" i="1"/>
  <c r="D25" i="1"/>
  <c r="E25" i="1"/>
  <c r="F25" i="1"/>
  <c r="G25" i="1"/>
  <c r="H25" i="1"/>
  <c r="D27" i="1"/>
  <c r="E27" i="1"/>
  <c r="F27" i="1"/>
  <c r="G27" i="1"/>
  <c r="H27" i="1"/>
  <c r="C27" i="1"/>
  <c r="C40" i="1"/>
  <c r="D30" i="1"/>
  <c r="E30" i="1"/>
  <c r="F30" i="1"/>
  <c r="G30" i="1"/>
  <c r="H30" i="1"/>
  <c r="C30" i="1"/>
  <c r="D10" i="1"/>
  <c r="E10" i="1"/>
  <c r="F10" i="1"/>
  <c r="G10" i="1"/>
  <c r="H10" i="1"/>
  <c r="C10" i="1"/>
  <c r="D11" i="1"/>
  <c r="E11" i="1"/>
  <c r="F11" i="1"/>
  <c r="G11" i="1"/>
  <c r="H11" i="1"/>
  <c r="C11" i="1"/>
  <c r="D15" i="1"/>
  <c r="E15" i="1"/>
  <c r="F15" i="1"/>
  <c r="G15" i="1"/>
  <c r="H15" i="1"/>
  <c r="D14" i="1"/>
  <c r="E14" i="1"/>
  <c r="F14" i="1"/>
  <c r="G14" i="1"/>
  <c r="H14" i="1"/>
  <c r="D16" i="1"/>
  <c r="E16" i="1"/>
  <c r="F16" i="1"/>
  <c r="G16" i="1"/>
  <c r="H16" i="1"/>
  <c r="D19" i="1"/>
  <c r="E19" i="1"/>
  <c r="F19" i="1"/>
  <c r="G19" i="1"/>
  <c r="H19" i="1"/>
  <c r="D21" i="1"/>
  <c r="E21" i="1"/>
  <c r="F21" i="1"/>
  <c r="G21" i="1"/>
  <c r="H21" i="1"/>
  <c r="C15" i="1"/>
  <c r="C14" i="1"/>
  <c r="C16" i="1"/>
  <c r="C19" i="1"/>
  <c r="C21" i="1"/>
</calcChain>
</file>

<file path=xl/sharedStrings.xml><?xml version="1.0" encoding="utf-8"?>
<sst xmlns="http://schemas.openxmlformats.org/spreadsheetml/2006/main" count="36" uniqueCount="35">
  <si>
    <t>Name</t>
  </si>
  <si>
    <t>Weight (kg)</t>
  </si>
  <si>
    <t>Fentanyl</t>
  </si>
  <si>
    <t>Propofol</t>
  </si>
  <si>
    <t>Ketamine</t>
  </si>
  <si>
    <t>Midazolam</t>
  </si>
  <si>
    <t>Succinylcholine</t>
  </si>
  <si>
    <t>Atracurium</t>
  </si>
  <si>
    <t>Neostigmine</t>
  </si>
  <si>
    <t>Glycopyrrolate</t>
  </si>
  <si>
    <t>Adrenaline</t>
  </si>
  <si>
    <t>Atropine</t>
  </si>
  <si>
    <t>Paracetamol</t>
  </si>
  <si>
    <t>Dexamethasone</t>
  </si>
  <si>
    <t>Case No.</t>
  </si>
  <si>
    <t>DO NOT TYPE/EDIT BELOW THIS LINE</t>
  </si>
  <si>
    <t>Paediatric Chart</t>
  </si>
  <si>
    <t>iGel size</t>
  </si>
  <si>
    <t xml:space="preserve"> Age (years)</t>
  </si>
  <si>
    <r>
      <t xml:space="preserve">ETT size </t>
    </r>
    <r>
      <rPr>
        <b/>
        <sz val="8"/>
        <color theme="1"/>
        <rFont val="Calibri"/>
        <family val="2"/>
        <scheme val="minor"/>
      </rPr>
      <t>(uncuffed/cuffed)</t>
    </r>
  </si>
  <si>
    <t>Emergency Drugs</t>
  </si>
  <si>
    <t>Sedation</t>
  </si>
  <si>
    <t>Induction</t>
  </si>
  <si>
    <t>Etomidate</t>
  </si>
  <si>
    <t>Morphine</t>
  </si>
  <si>
    <t>Diclofenac</t>
  </si>
  <si>
    <t>Vecuronium</t>
  </si>
  <si>
    <t>Hydrocortisone</t>
  </si>
  <si>
    <t>Ondansetron</t>
  </si>
  <si>
    <t>Analgesia</t>
  </si>
  <si>
    <t>Paralysis</t>
  </si>
  <si>
    <t>Steroids</t>
  </si>
  <si>
    <t>Anti emetics</t>
  </si>
  <si>
    <t>Reversal</t>
  </si>
  <si>
    <t>Rocuronium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</si>
</sst>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14" xfId="0" applyFont="1" applyBorder="1"/>
    <xf numFmtId="0" fontId="1" fillId="0" borderId="15" xfId="0" applyFont="1" applyBorder="1" applyAlignment="1">
      <alignment horizontal="left"/>
    </xf>
    <xf numFmtId="0" fontId="1" fillId="0" borderId="16" xfId="0" applyFont="1" applyBorder="1" applyAlignment="1">
      <alignment horizontal="left"/>
    </xf>
    <xf numFmtId="0" fontId="3" fillId="0" borderId="10" xfId="0" applyFont="1" applyBorder="1"/>
    <xf numFmtId="0" fontId="1" fillId="0" borderId="9" xfId="0" applyFont="1" applyBorder="1"/>
    <xf numFmtId="0" fontId="1" fillId="0" borderId="11" xfId="0" applyFont="1" applyBorder="1"/>
    <xf numFmtId="0" fontId="1" fillId="0" borderId="9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3" fillId="0" borderId="12" xfId="0" applyFont="1" applyBorder="1"/>
    <xf numFmtId="0" fontId="1" fillId="0" borderId="13" xfId="0" applyFont="1" applyBorder="1"/>
    <xf numFmtId="0" fontId="3" fillId="0" borderId="17" xfId="0" applyFont="1" applyBorder="1"/>
    <xf numFmtId="0" fontId="1" fillId="0" borderId="18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1" fillId="0" borderId="9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0" fontId="4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14289</xdr:colOff>
      <xdr:row>43</xdr:row>
      <xdr:rowOff>23811</xdr:rowOff>
    </xdr:from>
    <xdr:to>
      <xdr:col>8</xdr:col>
      <xdr:colOff>33337</xdr:colOff>
      <xdr:row>68</xdr:row>
      <xdr:rowOff>113360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E1041C7-3BE8-F001-7616-97807561BE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38943" b="39211"/>
        <a:stretch/>
      </xdr:blipFill>
      <xdr:spPr>
        <a:xfrm>
          <a:off x="661989" y="9544049"/>
          <a:ext cx="9767886" cy="46139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31EAE-6EF6-43C0-AB40-526495A090EF}">
  <sheetPr>
    <pageSetUpPr fitToPage="1"/>
  </sheetPr>
  <dimension ref="B1:H40"/>
  <sheetViews>
    <sheetView tabSelected="1" topLeftCell="A38" workbookViewId="0">
      <selection activeCell="B13" sqref="B13:H13"/>
    </sheetView>
  </sheetViews>
  <sheetFormatPr defaultRowHeight="14.25" x14ac:dyDescent="0.45"/>
  <cols>
    <col min="2" max="2" width="20.73046875" bestFit="1" customWidth="1"/>
    <col min="3" max="3" width="19.06640625" customWidth="1"/>
    <col min="4" max="4" width="23" customWidth="1"/>
    <col min="5" max="5" width="19.59765625" customWidth="1"/>
    <col min="6" max="6" width="23.9296875" customWidth="1"/>
    <col min="7" max="7" width="15.73046875" bestFit="1" customWidth="1"/>
    <col min="8" max="8" width="14.3984375" bestFit="1" customWidth="1"/>
  </cols>
  <sheetData>
    <row r="1" spans="2:8" ht="14.65" thickBot="1" x14ac:dyDescent="0.5"/>
    <row r="2" spans="2:8" x14ac:dyDescent="0.45">
      <c r="B2" s="19" t="s">
        <v>16</v>
      </c>
      <c r="C2" s="20"/>
      <c r="D2" s="20"/>
      <c r="E2" s="20"/>
      <c r="F2" s="20"/>
      <c r="G2" s="20"/>
      <c r="H2" s="21"/>
    </row>
    <row r="3" spans="2:8" x14ac:dyDescent="0.45">
      <c r="B3" s="22"/>
      <c r="C3" s="23"/>
      <c r="D3" s="23"/>
      <c r="E3" s="23"/>
      <c r="F3" s="23"/>
      <c r="G3" s="23"/>
      <c r="H3" s="24"/>
    </row>
    <row r="4" spans="2:8" ht="14.65" thickBot="1" x14ac:dyDescent="0.5">
      <c r="B4" s="25"/>
      <c r="C4" s="26"/>
      <c r="D4" s="26"/>
      <c r="E4" s="26"/>
      <c r="F4" s="26"/>
      <c r="G4" s="26"/>
      <c r="H4" s="27"/>
    </row>
    <row r="5" spans="2:8" ht="18" x14ac:dyDescent="0.55000000000000004">
      <c r="B5" s="1" t="s">
        <v>14</v>
      </c>
      <c r="C5" s="2"/>
      <c r="D5" s="2"/>
      <c r="E5" s="2"/>
      <c r="F5" s="2"/>
      <c r="G5" s="2"/>
      <c r="H5" s="3"/>
    </row>
    <row r="6" spans="2:8" ht="18" x14ac:dyDescent="0.55000000000000004">
      <c r="B6" s="4" t="s">
        <v>0</v>
      </c>
      <c r="C6" s="5"/>
      <c r="D6" s="5"/>
      <c r="E6" s="5"/>
      <c r="F6" s="5"/>
      <c r="G6" s="5"/>
      <c r="H6" s="6"/>
    </row>
    <row r="7" spans="2:8" ht="18" x14ac:dyDescent="0.55000000000000004">
      <c r="B7" s="4" t="s">
        <v>18</v>
      </c>
      <c r="C7" s="5">
        <v>7</v>
      </c>
      <c r="D7" s="5">
        <v>7</v>
      </c>
      <c r="E7" s="5">
        <v>0.5</v>
      </c>
      <c r="F7" s="5">
        <v>9</v>
      </c>
      <c r="G7" s="5">
        <v>0</v>
      </c>
      <c r="H7" s="6"/>
    </row>
    <row r="8" spans="2:8" ht="18" x14ac:dyDescent="0.55000000000000004">
      <c r="B8" s="4" t="s">
        <v>1</v>
      </c>
      <c r="C8" s="5">
        <v>14.3</v>
      </c>
      <c r="D8" s="14">
        <v>24</v>
      </c>
      <c r="E8" s="14">
        <v>6.8</v>
      </c>
      <c r="F8" s="14">
        <v>17</v>
      </c>
      <c r="G8" s="14">
        <v>0</v>
      </c>
      <c r="H8" s="15"/>
    </row>
    <row r="9" spans="2:8" ht="18" x14ac:dyDescent="0.55000000000000004">
      <c r="B9" s="16" t="s">
        <v>15</v>
      </c>
      <c r="C9" s="17"/>
      <c r="D9" s="17"/>
      <c r="E9" s="17"/>
      <c r="F9" s="17"/>
      <c r="G9" s="17"/>
      <c r="H9" s="18"/>
    </row>
    <row r="10" spans="2:8" ht="18" x14ac:dyDescent="0.55000000000000004">
      <c r="B10" s="4" t="s">
        <v>19</v>
      </c>
      <c r="C10" s="7" t="str">
        <f>CONCATENATE((C7/4)+4,"/",(C7/4)+3.5," mm")</f>
        <v>5.75/5.25 mm</v>
      </c>
      <c r="D10" s="7" t="str">
        <f t="shared" ref="D10:H10" si="0">CONCATENATE((D7/4)+4,"/",(D7/4)+3.5," mm")</f>
        <v>5.75/5.25 mm</v>
      </c>
      <c r="E10" s="7" t="str">
        <f t="shared" si="0"/>
        <v>4.125/3.625 mm</v>
      </c>
      <c r="F10" s="7" t="str">
        <f t="shared" si="0"/>
        <v>6.25/5.75 mm</v>
      </c>
      <c r="G10" s="7" t="str">
        <f t="shared" si="0"/>
        <v>4/3.5 mm</v>
      </c>
      <c r="H10" s="8" t="str">
        <f t="shared" si="0"/>
        <v>4/3.5 mm</v>
      </c>
    </row>
    <row r="11" spans="2:8" ht="18" x14ac:dyDescent="0.55000000000000004">
      <c r="B11" s="4" t="s">
        <v>17</v>
      </c>
      <c r="C11" s="7" t="str">
        <f>IF(C8&lt;5,"1",IF(C8&lt;12,"1.5",IF(C8&lt;25,"2",IF(C8&lt;35,"2.5",IF(C8&lt;60,"3",IF(C8&lt;90,"4",IF(C8&gt;89,"5")))))))</f>
        <v>2</v>
      </c>
      <c r="D11" s="7" t="str">
        <f t="shared" ref="D11:H11" si="1">IF(D8&lt;5,"1",IF(D8&lt;12,"1.5",IF(D8&lt;25,"2",IF(D8&lt;35,"2.5",IF(D8&lt;60,"3",IF(D8&lt;90,"4",IF(D8&gt;89,"5")))))))</f>
        <v>2</v>
      </c>
      <c r="E11" s="7" t="str">
        <f t="shared" si="1"/>
        <v>1.5</v>
      </c>
      <c r="F11" s="7" t="str">
        <f t="shared" si="1"/>
        <v>2</v>
      </c>
      <c r="G11" s="7" t="str">
        <f t="shared" si="1"/>
        <v>1</v>
      </c>
      <c r="H11" s="8" t="str">
        <f t="shared" si="1"/>
        <v>1</v>
      </c>
    </row>
    <row r="12" spans="2:8" ht="18" x14ac:dyDescent="0.55000000000000004">
      <c r="B12" s="11"/>
      <c r="C12" s="12"/>
      <c r="D12" s="12"/>
      <c r="E12" s="12"/>
      <c r="F12" s="12"/>
      <c r="G12" s="12"/>
      <c r="H12" s="13"/>
    </row>
    <row r="13" spans="2:8" ht="18" x14ac:dyDescent="0.55000000000000004">
      <c r="B13" s="16" t="s">
        <v>20</v>
      </c>
      <c r="C13" s="17"/>
      <c r="D13" s="17"/>
      <c r="E13" s="17"/>
      <c r="F13" s="17"/>
      <c r="G13" s="17"/>
      <c r="H13" s="18"/>
    </row>
    <row r="14" spans="2:8" ht="18" x14ac:dyDescent="0.55000000000000004">
      <c r="B14" s="4" t="s">
        <v>10</v>
      </c>
      <c r="C14" s="5" t="str">
        <f t="shared" ref="C14:H14" si="2">CONCATENATE(C8*10,"mcg")</f>
        <v>143mcg</v>
      </c>
      <c r="D14" s="5" t="str">
        <f t="shared" si="2"/>
        <v>240mcg</v>
      </c>
      <c r="E14" s="5" t="str">
        <f t="shared" si="2"/>
        <v>68mcg</v>
      </c>
      <c r="F14" s="5" t="str">
        <f t="shared" si="2"/>
        <v>170mcg</v>
      </c>
      <c r="G14" s="5" t="str">
        <f t="shared" si="2"/>
        <v>0mcg</v>
      </c>
      <c r="H14" s="6" t="str">
        <f t="shared" si="2"/>
        <v>0mcg</v>
      </c>
    </row>
    <row r="15" spans="2:8" ht="18" x14ac:dyDescent="0.55000000000000004">
      <c r="B15" s="4" t="s">
        <v>11</v>
      </c>
      <c r="C15" s="5" t="str">
        <f t="shared" ref="C15:H15" si="3">CONCATENATE(C8*0.02,"mg")</f>
        <v>0.286mg</v>
      </c>
      <c r="D15" s="5" t="str">
        <f t="shared" si="3"/>
        <v>0.48mg</v>
      </c>
      <c r="E15" s="5" t="str">
        <f t="shared" si="3"/>
        <v>0.136mg</v>
      </c>
      <c r="F15" s="5" t="str">
        <f t="shared" si="3"/>
        <v>0.34mg</v>
      </c>
      <c r="G15" s="5" t="str">
        <f t="shared" si="3"/>
        <v>0mg</v>
      </c>
      <c r="H15" s="6" t="str">
        <f t="shared" si="3"/>
        <v>0mg</v>
      </c>
    </row>
    <row r="16" spans="2:8" ht="18" x14ac:dyDescent="0.55000000000000004">
      <c r="B16" s="4" t="s">
        <v>9</v>
      </c>
      <c r="C16" s="5" t="str">
        <f t="shared" ref="C16:H16" si="4">CONCATENATE(C8*0.01,"mg")</f>
        <v>0.143mg</v>
      </c>
      <c r="D16" s="5" t="str">
        <f t="shared" si="4"/>
        <v>0.24mg</v>
      </c>
      <c r="E16" s="5" t="str">
        <f t="shared" si="4"/>
        <v>0.068mg</v>
      </c>
      <c r="F16" s="5" t="str">
        <f t="shared" si="4"/>
        <v>0.17mg</v>
      </c>
      <c r="G16" s="5" t="str">
        <f t="shared" si="4"/>
        <v>0mg</v>
      </c>
      <c r="H16" s="6" t="str">
        <f t="shared" si="4"/>
        <v>0mg</v>
      </c>
    </row>
    <row r="17" spans="2:8" ht="18" x14ac:dyDescent="0.55000000000000004">
      <c r="B17" s="16" t="s">
        <v>21</v>
      </c>
      <c r="C17" s="17"/>
      <c r="D17" s="17"/>
      <c r="E17" s="17"/>
      <c r="F17" s="17"/>
      <c r="G17" s="17"/>
      <c r="H17" s="18"/>
    </row>
    <row r="18" spans="2:8" ht="18" x14ac:dyDescent="0.55000000000000004">
      <c r="B18" s="4" t="s">
        <v>4</v>
      </c>
      <c r="C18" s="5" t="str">
        <f>CONCATENATE(C8*0.5,"mg")</f>
        <v>7.15mg</v>
      </c>
      <c r="D18" s="5" t="str">
        <f t="shared" ref="D18:H18" si="5">CONCATENATE(D8*0.5,"mg")</f>
        <v>12mg</v>
      </c>
      <c r="E18" s="5" t="str">
        <f t="shared" si="5"/>
        <v>3.4mg</v>
      </c>
      <c r="F18" s="5" t="str">
        <f t="shared" si="5"/>
        <v>8.5mg</v>
      </c>
      <c r="G18" s="5" t="str">
        <f t="shared" si="5"/>
        <v>0mg</v>
      </c>
      <c r="H18" s="5" t="str">
        <f t="shared" si="5"/>
        <v>0mg</v>
      </c>
    </row>
    <row r="19" spans="2:8" ht="18" x14ac:dyDescent="0.55000000000000004">
      <c r="B19" s="4" t="s">
        <v>5</v>
      </c>
      <c r="C19" s="5" t="str">
        <f t="shared" ref="C19:H19" si="6">CONCATENATE(C8*0.05,"-",C8*0.1,"mg")</f>
        <v>0.715-1.43mg</v>
      </c>
      <c r="D19" s="5" t="str">
        <f t="shared" si="6"/>
        <v>1.2-2.4mg</v>
      </c>
      <c r="E19" s="5" t="str">
        <f t="shared" si="6"/>
        <v>0.34-0.68mg</v>
      </c>
      <c r="F19" s="5" t="str">
        <f t="shared" si="6"/>
        <v>0.85-1.7mg</v>
      </c>
      <c r="G19" s="5" t="str">
        <f t="shared" si="6"/>
        <v>0-0mg</v>
      </c>
      <c r="H19" s="6" t="str">
        <f t="shared" si="6"/>
        <v>0-0mg</v>
      </c>
    </row>
    <row r="20" spans="2:8" ht="18" x14ac:dyDescent="0.55000000000000004">
      <c r="B20" s="16" t="s">
        <v>22</v>
      </c>
      <c r="C20" s="17"/>
      <c r="D20" s="17"/>
      <c r="E20" s="17"/>
      <c r="F20" s="17"/>
      <c r="G20" s="17"/>
      <c r="H20" s="18"/>
    </row>
    <row r="21" spans="2:8" ht="18" x14ac:dyDescent="0.55000000000000004">
      <c r="B21" s="4" t="s">
        <v>3</v>
      </c>
      <c r="C21" s="5" t="str">
        <f t="shared" ref="C21:H21" si="7">CONCATENATE(C8*2,"-",C8*3,"mg")</f>
        <v>28.6-42.9mg</v>
      </c>
      <c r="D21" s="5" t="str">
        <f t="shared" si="7"/>
        <v>48-72mg</v>
      </c>
      <c r="E21" s="5" t="str">
        <f t="shared" si="7"/>
        <v>13.6-20.4mg</v>
      </c>
      <c r="F21" s="5" t="str">
        <f t="shared" si="7"/>
        <v>34-51mg</v>
      </c>
      <c r="G21" s="5" t="str">
        <f t="shared" si="7"/>
        <v>0-0mg</v>
      </c>
      <c r="H21" s="6" t="str">
        <f t="shared" si="7"/>
        <v>0-0mg</v>
      </c>
    </row>
    <row r="22" spans="2:8" ht="18" x14ac:dyDescent="0.55000000000000004">
      <c r="B22" s="4" t="s">
        <v>4</v>
      </c>
      <c r="C22" s="5" t="str">
        <f t="shared" ref="C22:H22" si="8">CONCATENATE(C8*1,"-",C8*2,"mg")</f>
        <v>14.3-28.6mg</v>
      </c>
      <c r="D22" s="5" t="str">
        <f t="shared" si="8"/>
        <v>24-48mg</v>
      </c>
      <c r="E22" s="5" t="str">
        <f t="shared" si="8"/>
        <v>6.8-13.6mg</v>
      </c>
      <c r="F22" s="5" t="str">
        <f t="shared" si="8"/>
        <v>17-34mg</v>
      </c>
      <c r="G22" s="5" t="str">
        <f t="shared" si="8"/>
        <v>0-0mg</v>
      </c>
      <c r="H22" s="5" t="str">
        <f t="shared" si="8"/>
        <v>0-0mg</v>
      </c>
    </row>
    <row r="23" spans="2:8" ht="18" x14ac:dyDescent="0.55000000000000004">
      <c r="B23" s="4" t="s">
        <v>23</v>
      </c>
      <c r="C23" s="5" t="str">
        <f>CONCATENATE(C8*0.2,"-",C8*0.3,"mg")</f>
        <v>2.86-4.29mg</v>
      </c>
      <c r="D23" s="5" t="str">
        <f t="shared" ref="D23:H23" si="9">CONCATENATE(D8*0.2,"-",D8*0.3,"mg")</f>
        <v>4.8-7.2mg</v>
      </c>
      <c r="E23" s="5" t="str">
        <f t="shared" si="9"/>
        <v>1.36-2.04mg</v>
      </c>
      <c r="F23" s="5" t="str">
        <f t="shared" si="9"/>
        <v>3.4-5.1mg</v>
      </c>
      <c r="G23" s="5" t="str">
        <f t="shared" si="9"/>
        <v>0-0mg</v>
      </c>
      <c r="H23" s="5" t="str">
        <f t="shared" si="9"/>
        <v>0-0mg</v>
      </c>
    </row>
    <row r="24" spans="2:8" ht="18" x14ac:dyDescent="0.55000000000000004">
      <c r="B24" s="16" t="s">
        <v>29</v>
      </c>
      <c r="C24" s="17"/>
      <c r="D24" s="17"/>
      <c r="E24" s="17"/>
      <c r="F24" s="17"/>
      <c r="G24" s="17"/>
      <c r="H24" s="18"/>
    </row>
    <row r="25" spans="2:8" ht="18" x14ac:dyDescent="0.55000000000000004">
      <c r="B25" s="4" t="s">
        <v>2</v>
      </c>
      <c r="C25" s="5" t="str">
        <f t="shared" ref="C25:H25" si="10">CONCATENATE(C8*1,"-",C8*2," mcg")</f>
        <v>14.3-28.6 mcg</v>
      </c>
      <c r="D25" s="5" t="str">
        <f t="shared" si="10"/>
        <v>24-48 mcg</v>
      </c>
      <c r="E25" s="5" t="str">
        <f t="shared" si="10"/>
        <v>6.8-13.6 mcg</v>
      </c>
      <c r="F25" s="5" t="str">
        <f t="shared" si="10"/>
        <v>17-34 mcg</v>
      </c>
      <c r="G25" s="5" t="str">
        <f t="shared" si="10"/>
        <v>0-0 mcg</v>
      </c>
      <c r="H25" s="6" t="str">
        <f t="shared" si="10"/>
        <v>0-0 mcg</v>
      </c>
    </row>
    <row r="26" spans="2:8" ht="18" x14ac:dyDescent="0.55000000000000004">
      <c r="B26" s="4" t="s">
        <v>24</v>
      </c>
      <c r="C26" s="5" t="str">
        <f>CONCATENATE(C8*0.1,"mg")</f>
        <v>1.43mg</v>
      </c>
      <c r="D26" s="5" t="str">
        <f t="shared" ref="D26:H26" si="11">CONCATENATE(D8*0.1,"mg")</f>
        <v>2.4mg</v>
      </c>
      <c r="E26" s="5" t="str">
        <f t="shared" si="11"/>
        <v>0.68mg</v>
      </c>
      <c r="F26" s="5" t="str">
        <f t="shared" si="11"/>
        <v>1.7mg</v>
      </c>
      <c r="G26" s="5" t="str">
        <f t="shared" si="11"/>
        <v>0mg</v>
      </c>
      <c r="H26" s="5" t="str">
        <f t="shared" si="11"/>
        <v>0mg</v>
      </c>
    </row>
    <row r="27" spans="2:8" ht="18" x14ac:dyDescent="0.55000000000000004">
      <c r="B27" s="4" t="s">
        <v>12</v>
      </c>
      <c r="C27" s="5" t="str">
        <f t="shared" ref="C27:H27" si="12">CONCATENATE(C8*10,"-",C8*15,"mg")</f>
        <v>143-214.5mg</v>
      </c>
      <c r="D27" s="5" t="str">
        <f t="shared" si="12"/>
        <v>240-360mg</v>
      </c>
      <c r="E27" s="5" t="str">
        <f t="shared" si="12"/>
        <v>68-102mg</v>
      </c>
      <c r="F27" s="5" t="str">
        <f t="shared" si="12"/>
        <v>170-255mg</v>
      </c>
      <c r="G27" s="5" t="str">
        <f t="shared" si="12"/>
        <v>0-0mg</v>
      </c>
      <c r="H27" s="5" t="str">
        <f t="shared" si="12"/>
        <v>0-0mg</v>
      </c>
    </row>
    <row r="28" spans="2:8" ht="18" x14ac:dyDescent="0.55000000000000004">
      <c r="B28" s="4" t="s">
        <v>25</v>
      </c>
      <c r="C28" s="5" t="str">
        <f>CONCATENATE(C8*1,"-",C8*1.5,"mg")</f>
        <v>14.3-21.45mg</v>
      </c>
      <c r="D28" s="5" t="str">
        <f t="shared" ref="D28:H28" si="13">CONCATENATE(D8*1,"-",D8*1.5,"mg")</f>
        <v>24-36mg</v>
      </c>
      <c r="E28" s="5" t="str">
        <f t="shared" si="13"/>
        <v>6.8-10.2mg</v>
      </c>
      <c r="F28" s="5" t="str">
        <f t="shared" si="13"/>
        <v>17-25.5mg</v>
      </c>
      <c r="G28" s="5" t="str">
        <f t="shared" si="13"/>
        <v>0-0mg</v>
      </c>
      <c r="H28" s="5" t="str">
        <f t="shared" si="13"/>
        <v>0-0mg</v>
      </c>
    </row>
    <row r="29" spans="2:8" ht="18" x14ac:dyDescent="0.55000000000000004">
      <c r="B29" s="16" t="s">
        <v>30</v>
      </c>
      <c r="C29" s="17"/>
      <c r="D29" s="17"/>
      <c r="E29" s="17"/>
      <c r="F29" s="17"/>
      <c r="G29" s="17"/>
      <c r="H29" s="18"/>
    </row>
    <row r="30" spans="2:8" ht="18" x14ac:dyDescent="0.55000000000000004">
      <c r="B30" s="4" t="s">
        <v>6</v>
      </c>
      <c r="C30" s="5" t="str">
        <f>CONCATENATE(C8*1,"-",C8*2,"mg")</f>
        <v>14.3-28.6mg</v>
      </c>
      <c r="D30" s="5" t="str">
        <f t="shared" ref="D30:H30" si="14">CONCATENATE(D8*1,"-",D8*2,"mg")</f>
        <v>24-48mg</v>
      </c>
      <c r="E30" s="5" t="str">
        <f t="shared" si="14"/>
        <v>6.8-13.6mg</v>
      </c>
      <c r="F30" s="5" t="str">
        <f t="shared" si="14"/>
        <v>17-34mg</v>
      </c>
      <c r="G30" s="5" t="str">
        <f t="shared" si="14"/>
        <v>0-0mg</v>
      </c>
      <c r="H30" s="5" t="str">
        <f t="shared" si="14"/>
        <v>0-0mg</v>
      </c>
    </row>
    <row r="31" spans="2:8" ht="18" x14ac:dyDescent="0.55000000000000004">
      <c r="B31" s="4" t="s">
        <v>7</v>
      </c>
      <c r="C31" s="5" t="str">
        <f>CONCATENATE(C8*0.5,"mg")</f>
        <v>7.15mg</v>
      </c>
      <c r="D31" s="5" t="str">
        <f t="shared" ref="D31:H31" si="15">CONCATENATE(D8*0.5,"mg")</f>
        <v>12mg</v>
      </c>
      <c r="E31" s="5" t="str">
        <f t="shared" si="15"/>
        <v>3.4mg</v>
      </c>
      <c r="F31" s="5" t="str">
        <f t="shared" si="15"/>
        <v>8.5mg</v>
      </c>
      <c r="G31" s="5" t="str">
        <f t="shared" si="15"/>
        <v>0mg</v>
      </c>
      <c r="H31" s="5" t="str">
        <f t="shared" si="15"/>
        <v>0mg</v>
      </c>
    </row>
    <row r="32" spans="2:8" ht="18" x14ac:dyDescent="0.55000000000000004">
      <c r="B32" s="4" t="s">
        <v>26</v>
      </c>
      <c r="C32" s="5" t="str">
        <f>CONCATENATE(C8*0.1,"mg")</f>
        <v>1.43mg</v>
      </c>
      <c r="D32" s="5" t="str">
        <f t="shared" ref="D32:H32" si="16">CONCATENATE(D8*0.1,"mg")</f>
        <v>2.4mg</v>
      </c>
      <c r="E32" s="5" t="str">
        <f t="shared" si="16"/>
        <v>0.68mg</v>
      </c>
      <c r="F32" s="5" t="str">
        <f t="shared" si="16"/>
        <v>1.7mg</v>
      </c>
      <c r="G32" s="5" t="str">
        <f t="shared" si="16"/>
        <v>0mg</v>
      </c>
      <c r="H32" s="5" t="str">
        <f t="shared" si="16"/>
        <v>0mg</v>
      </c>
    </row>
    <row r="33" spans="2:8" ht="18" x14ac:dyDescent="0.55000000000000004">
      <c r="B33" s="4" t="s">
        <v>34</v>
      </c>
      <c r="C33" s="5" t="str">
        <f>CONCATENATE(C8*0.6,"-",C8*1.2,"mg")</f>
        <v>8.58-17.16mg</v>
      </c>
      <c r="D33" s="5" t="str">
        <f t="shared" ref="D33:H33" si="17">CONCATENATE(D8*0.6,"-",D8*1.2,"mg")</f>
        <v>14.4-28.8mg</v>
      </c>
      <c r="E33" s="5" t="str">
        <f t="shared" si="17"/>
        <v>4.08-8.16mg</v>
      </c>
      <c r="F33" s="5" t="str">
        <f t="shared" si="17"/>
        <v>10.2-20.4mg</v>
      </c>
      <c r="G33" s="5" t="str">
        <f t="shared" si="17"/>
        <v>0-0mg</v>
      </c>
      <c r="H33" s="5" t="str">
        <f t="shared" si="17"/>
        <v>0-0mg</v>
      </c>
    </row>
    <row r="34" spans="2:8" ht="18" x14ac:dyDescent="0.55000000000000004">
      <c r="B34" s="16" t="s">
        <v>31</v>
      </c>
      <c r="C34" s="17"/>
      <c r="D34" s="17"/>
      <c r="E34" s="17"/>
      <c r="F34" s="17"/>
      <c r="G34" s="17"/>
      <c r="H34" s="18"/>
    </row>
    <row r="35" spans="2:8" ht="18.399999999999999" thickBot="1" x14ac:dyDescent="0.6">
      <c r="B35" s="9" t="s">
        <v>13</v>
      </c>
      <c r="C35" s="10" t="str">
        <f>CONCATENATE(C8*0.1,"mg")</f>
        <v>1.43mg</v>
      </c>
      <c r="D35" s="10" t="str">
        <f t="shared" ref="D35:H35" si="18">CONCATENATE(D8*0.1,"mg")</f>
        <v>2.4mg</v>
      </c>
      <c r="E35" s="10" t="str">
        <f t="shared" si="18"/>
        <v>0.68mg</v>
      </c>
      <c r="F35" s="10" t="str">
        <f t="shared" si="18"/>
        <v>1.7mg</v>
      </c>
      <c r="G35" s="10" t="str">
        <f t="shared" si="18"/>
        <v>0mg</v>
      </c>
      <c r="H35" s="10" t="str">
        <f t="shared" si="18"/>
        <v>0mg</v>
      </c>
    </row>
    <row r="36" spans="2:8" ht="18.399999999999999" thickBot="1" x14ac:dyDescent="0.6">
      <c r="B36" s="9" t="s">
        <v>27</v>
      </c>
      <c r="C36" s="10" t="str">
        <f>CONCATENATE(C8*2,"mg")</f>
        <v>28.6mg</v>
      </c>
      <c r="D36" s="10" t="str">
        <f t="shared" ref="D36:H36" si="19">CONCATENATE(D8*2,"mg")</f>
        <v>48mg</v>
      </c>
      <c r="E36" s="10" t="str">
        <f t="shared" si="19"/>
        <v>13.6mg</v>
      </c>
      <c r="F36" s="10" t="str">
        <f t="shared" si="19"/>
        <v>34mg</v>
      </c>
      <c r="G36" s="10" t="str">
        <f t="shared" si="19"/>
        <v>0mg</v>
      </c>
      <c r="H36" s="10" t="str">
        <f t="shared" si="19"/>
        <v>0mg</v>
      </c>
    </row>
    <row r="37" spans="2:8" ht="18" x14ac:dyDescent="0.55000000000000004">
      <c r="B37" s="16" t="s">
        <v>32</v>
      </c>
      <c r="C37" s="17"/>
      <c r="D37" s="17"/>
      <c r="E37" s="17"/>
      <c r="F37" s="17"/>
      <c r="G37" s="17"/>
      <c r="H37" s="18"/>
    </row>
    <row r="38" spans="2:8" ht="18.399999999999999" thickBot="1" x14ac:dyDescent="0.6">
      <c r="B38" s="9" t="s">
        <v>28</v>
      </c>
      <c r="C38" s="10" t="str">
        <f>CONCATENATE(C8*0.1,"mg")</f>
        <v>1.43mg</v>
      </c>
      <c r="D38" s="10" t="str">
        <f t="shared" ref="D38:H38" si="20">CONCATENATE(D8*0.1,"mg")</f>
        <v>2.4mg</v>
      </c>
      <c r="E38" s="10" t="str">
        <f t="shared" si="20"/>
        <v>0.68mg</v>
      </c>
      <c r="F38" s="10" t="str">
        <f t="shared" si="20"/>
        <v>1.7mg</v>
      </c>
      <c r="G38" s="10" t="str">
        <f t="shared" si="20"/>
        <v>0mg</v>
      </c>
      <c r="H38" s="10" t="str">
        <f t="shared" si="20"/>
        <v>0mg</v>
      </c>
    </row>
    <row r="39" spans="2:8" ht="18" x14ac:dyDescent="0.55000000000000004">
      <c r="B39" s="16" t="s">
        <v>33</v>
      </c>
      <c r="C39" s="17"/>
      <c r="D39" s="17"/>
      <c r="E39" s="17"/>
      <c r="F39" s="17"/>
      <c r="G39" s="17"/>
      <c r="H39" s="18"/>
    </row>
    <row r="40" spans="2:8" ht="18" x14ac:dyDescent="0.55000000000000004">
      <c r="B40" s="4" t="s">
        <v>8</v>
      </c>
      <c r="C40" s="5" t="str">
        <f t="shared" ref="C40:H40" si="21">CONCATENATE(C8*0.05,"mg")</f>
        <v>0.715mg</v>
      </c>
      <c r="D40" s="5" t="str">
        <f t="shared" si="21"/>
        <v>1.2mg</v>
      </c>
      <c r="E40" s="5" t="str">
        <f t="shared" si="21"/>
        <v>0.34mg</v>
      </c>
      <c r="F40" s="5" t="str">
        <f t="shared" si="21"/>
        <v>0.85mg</v>
      </c>
      <c r="G40" s="5" t="str">
        <f t="shared" si="21"/>
        <v>0mg</v>
      </c>
      <c r="H40" s="5" t="str">
        <f t="shared" si="21"/>
        <v>0mg</v>
      </c>
    </row>
  </sheetData>
  <mergeCells count="10">
    <mergeCell ref="B2:H4"/>
    <mergeCell ref="B13:H13"/>
    <mergeCell ref="B9:H9"/>
    <mergeCell ref="B17:H17"/>
    <mergeCell ref="B20:H20"/>
    <mergeCell ref="B24:H24"/>
    <mergeCell ref="B29:H29"/>
    <mergeCell ref="B37:H37"/>
    <mergeCell ref="B39:H39"/>
    <mergeCell ref="B34:H34"/>
  </mergeCells>
  <pageMargins left="0.7" right="0.7" top="0.75" bottom="0.75" header="0.3" footer="0.3"/>
  <pageSetup paperSize="9" fitToWidth="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3EB40DC509E847831112ABF8B0D137" ma:contentTypeVersion="4" ma:contentTypeDescription="Create a new document." ma:contentTypeScope="" ma:versionID="f6763ee4298a04779538b5fd968557b6">
  <xsd:schema xmlns:xsd="http://www.w3.org/2001/XMLSchema" xmlns:xs="http://www.w3.org/2001/XMLSchema" xmlns:p="http://schemas.microsoft.com/office/2006/metadata/properties" xmlns:ns3="15a7f8ca-ddab-4df0-aec2-21f54d61813c" targetNamespace="http://schemas.microsoft.com/office/2006/metadata/properties" ma:root="true" ma:fieldsID="4c94a7dbc71105c86824ebdfbc1a1d2c" ns3:_="">
    <xsd:import namespace="15a7f8ca-ddab-4df0-aec2-21f54d61813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a7f8ca-ddab-4df0-aec2-21f54d6181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A6280A3-0D91-4D56-A675-B932116579A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F9D6CA0-819A-4E8B-A0B2-6683086E84F5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15a7f8ca-ddab-4df0-aec2-21f54d61813c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B6E191F-7AE3-4126-8898-F45B593D3DAE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purl.org/dc/dcmitype/"/>
    <ds:schemaRef ds:uri="http://purl.org/dc/terms/"/>
    <ds:schemaRef ds:uri="http://schemas.openxmlformats.org/package/2006/metadata/core-properties"/>
    <ds:schemaRef ds:uri="15a7f8ca-ddab-4df0-aec2-21f54d61813c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Anirudh Pai</dc:creator>
  <cp:lastModifiedBy>Maneesh Kumar</cp:lastModifiedBy>
  <cp:lastPrinted>2022-07-06T21:01:50Z</cp:lastPrinted>
  <dcterms:created xsi:type="dcterms:W3CDTF">2022-07-06T20:19:02Z</dcterms:created>
  <dcterms:modified xsi:type="dcterms:W3CDTF">2024-08-31T02:44:43Z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0x010100943EB40DC509E847831112ABF8B0D137</vt:lpwstr>
  </property>
</Properties>
</file>